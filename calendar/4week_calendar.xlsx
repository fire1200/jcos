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주 캘린더" sheetId="1" state="visible" r:id="rId1"/>
    <sheet name="주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FF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F0"/>
      </patternFill>
    </fill>
    <fill>
      <patternFill patternType="solid">
        <fgColor rgb="001B2A4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6" fontId="7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</author>
  </authors>
  <commentList>
    <comment ref="B2" authorId="0" shapeId="0">
      <text>
        <t>시작 월요일을 바꾸면 모든 날짜가 자동 재계산됩니다.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9" customWidth="1" min="5" max="5"/>
    <col width="52" customWidth="1" min="6" max="6"/>
    <col width="26" customWidth="1" min="7" max="7"/>
    <col width="8" customWidth="1" min="8" max="8"/>
    <col width="10" customWidth="1" min="9" max="9"/>
    <col width="30" customWidth="1" min="10" max="10"/>
  </cols>
  <sheetData>
    <row r="1">
      <c r="A1" s="1" t="inlineStr">
        <is>
          <t>아기 수면음악 채널 4주 실행 캘린더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시작일(월요일)</t>
        </is>
      </c>
      <c r="B2" s="4" t="n">
        <v>46286</v>
      </c>
      <c r="C2" s="2" t="n"/>
      <c r="D2" s="5" t="inlineStr">
        <is>
          <t>노란 배경·파란 글씨 셀만 수정하세요. 날짜는 B2에서 자동 계산됩니다.</t>
        </is>
      </c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주차</t>
        </is>
      </c>
      <c r="B4" s="6" t="inlineStr">
        <is>
          <t>주간 테마</t>
        </is>
      </c>
      <c r="C4" s="6" t="inlineStr">
        <is>
          <t>날짜</t>
        </is>
      </c>
      <c r="D4" s="6" t="inlineStr">
        <is>
          <t>요일</t>
        </is>
      </c>
      <c r="E4" s="6" t="inlineStr">
        <is>
          <t>유형</t>
        </is>
      </c>
      <c r="F4" s="6" t="inlineStr">
        <is>
          <t>작업</t>
        </is>
      </c>
      <c r="G4" s="6" t="inlineStr">
        <is>
          <t>산출물/측정</t>
        </is>
      </c>
      <c r="H4" s="6" t="inlineStr">
        <is>
          <t>담당</t>
        </is>
      </c>
      <c r="I4" s="6" t="inlineStr">
        <is>
          <t>완료(Y/N)</t>
        </is>
      </c>
      <c r="J4" s="6" t="inlineStr">
        <is>
          <t>메모</t>
        </is>
      </c>
    </row>
    <row r="5">
      <c r="A5" s="7" t="inlineStr">
        <is>
          <t>W1</t>
        </is>
      </c>
      <c r="B5" s="7" t="inlineStr">
        <is>
          <t>점검·세팅</t>
        </is>
      </c>
      <c r="C5" s="8">
        <f>$B$2+0</f>
        <v/>
      </c>
      <c r="D5" s="7" t="inlineStr">
        <is>
          <t>월</t>
        </is>
      </c>
      <c r="E5" s="7" t="inlineStr">
        <is>
          <t>점검</t>
        </is>
      </c>
      <c r="F5" s="7" t="inlineStr">
        <is>
          <t>전 영상 시청자층(아동용 여부) 전수 확인</t>
        </is>
      </c>
      <c r="G5" s="7" t="inlineStr">
        <is>
          <t>체크 결과 시트</t>
        </is>
      </c>
      <c r="H5" s="9" t="inlineStr">
        <is>
          <t>운영자</t>
        </is>
      </c>
      <c r="I5" s="9" t="inlineStr">
        <is>
          <t>Y</t>
        </is>
      </c>
      <c r="J5" s="9" t="inlineStr">
        <is>
          <t>예시 값입니다. 실제 진행에 맞춰 수정하세요.</t>
        </is>
      </c>
    </row>
    <row r="6">
      <c r="A6" s="7" t="inlineStr">
        <is>
          <t>W1</t>
        </is>
      </c>
      <c r="B6" s="7" t="inlineStr">
        <is>
          <t>점검·세팅</t>
        </is>
      </c>
      <c r="C6" s="8">
        <f>$B$2+1</f>
        <v/>
      </c>
      <c r="D6" s="7" t="inlineStr">
        <is>
          <t>화</t>
        </is>
      </c>
      <c r="E6" s="7" t="inlineStr">
        <is>
          <t>점검</t>
        </is>
      </c>
      <c r="F6" s="7" t="inlineStr">
        <is>
          <t>재생목록 5개 구성, 전 영상 배치</t>
        </is>
      </c>
      <c r="G6" s="7" t="inlineStr">
        <is>
          <t>재생목록 링크</t>
        </is>
      </c>
      <c r="H6" s="9" t="n"/>
      <c r="I6" s="9" t="n"/>
      <c r="J6" s="9" t="n"/>
    </row>
    <row r="7">
      <c r="A7" s="7" t="inlineStr">
        <is>
          <t>W1</t>
        </is>
      </c>
      <c r="B7" s="7" t="inlineStr">
        <is>
          <t>점검·세팅</t>
        </is>
      </c>
      <c r="C7" s="8">
        <f>$B$2+2</f>
        <v/>
      </c>
      <c r="D7" s="7" t="inlineStr">
        <is>
          <t>수</t>
        </is>
      </c>
      <c r="E7" s="7" t="inlineStr">
        <is>
          <t>점검</t>
        </is>
      </c>
      <c r="F7" s="7" t="inlineStr">
        <is>
          <t>최종화면·타임스탬프 미설정 영상 보완</t>
        </is>
      </c>
      <c r="G7" s="7" t="inlineStr">
        <is>
          <t>check_metadata.py 통과</t>
        </is>
      </c>
      <c r="H7" s="9" t="n"/>
      <c r="I7" s="9" t="n"/>
      <c r="J7" s="9" t="n"/>
    </row>
    <row r="8">
      <c r="A8" s="7" t="inlineStr">
        <is>
          <t>W1</t>
        </is>
      </c>
      <c r="B8" s="7" t="inlineStr">
        <is>
          <t>점검·세팅</t>
        </is>
      </c>
      <c r="C8" s="8">
        <f>$B$2+3</f>
        <v/>
      </c>
      <c r="D8" s="7" t="inlineStr">
        <is>
          <t>목</t>
        </is>
      </c>
      <c r="E8" s="7" t="inlineStr">
        <is>
          <t>제작</t>
        </is>
      </c>
      <c r="F8" s="7" t="inlineStr">
        <is>
          <t>썸네일 가이드 확정, 기존 상위 5개 썸네일 재제작</t>
        </is>
      </c>
      <c r="G8" s="7" t="inlineStr">
        <is>
          <t>썸네일 3종×5</t>
        </is>
      </c>
      <c r="H8" s="9" t="n"/>
      <c r="I8" s="9" t="n"/>
      <c r="J8" s="9" t="n"/>
    </row>
    <row r="9">
      <c r="A9" s="7" t="inlineStr">
        <is>
          <t>W1</t>
        </is>
      </c>
      <c r="B9" s="7" t="inlineStr">
        <is>
          <t>점검·세팅</t>
        </is>
      </c>
      <c r="C9" s="8">
        <f>$B$2+4</f>
        <v/>
      </c>
      <c r="D9" s="7" t="inlineStr">
        <is>
          <t>금</t>
        </is>
      </c>
      <c r="E9" s="7" t="inlineStr">
        <is>
          <t>세팅</t>
        </is>
      </c>
      <c r="F9" s="7" t="inlineStr">
        <is>
          <t>24시간 라이브 스트림 세팅·테스트</t>
        </is>
      </c>
      <c r="G9" s="7" t="inlineStr">
        <is>
          <t>라이브 URL</t>
        </is>
      </c>
      <c r="H9" s="9" t="n"/>
      <c r="I9" s="9" t="n"/>
      <c r="J9" s="9" t="n"/>
    </row>
    <row r="10">
      <c r="A10" s="7" t="inlineStr">
        <is>
          <t>W1</t>
        </is>
      </c>
      <c r="B10" s="7" t="inlineStr">
        <is>
          <t>점검·세팅</t>
        </is>
      </c>
      <c r="C10" s="8">
        <f>$B$2+5</f>
        <v/>
      </c>
      <c r="D10" s="7" t="inlineStr">
        <is>
          <t>토</t>
        </is>
      </c>
      <c r="E10" s="7" t="inlineStr">
        <is>
          <t>커뮤니티</t>
        </is>
      </c>
      <c r="F10" s="7" t="inlineStr">
        <is>
          <t>설문: 이번 주 소리 투표</t>
        </is>
      </c>
      <c r="G10" s="7" t="inlineStr">
        <is>
          <t>응답 수</t>
        </is>
      </c>
      <c r="H10" s="9" t="n"/>
      <c r="I10" s="9" t="n"/>
      <c r="J10" s="9" t="n"/>
    </row>
    <row r="11">
      <c r="A11" s="7" t="inlineStr">
        <is>
          <t>W1</t>
        </is>
      </c>
      <c r="B11" s="7" t="inlineStr">
        <is>
          <t>점검·세팅</t>
        </is>
      </c>
      <c r="C11" s="8">
        <f>$B$2+6</f>
        <v/>
      </c>
      <c r="D11" s="7" t="inlineStr">
        <is>
          <t>일</t>
        </is>
      </c>
      <c r="E11" s="7" t="inlineStr">
        <is>
          <t>측정</t>
        </is>
      </c>
      <c r="F11" s="7" t="inlineStr">
        <is>
          <t>기준선 기록: 노출·CTR·AVD·트래픽 소스</t>
        </is>
      </c>
      <c r="G11" s="7" t="inlineStr">
        <is>
          <t>KPI 시트 W0</t>
        </is>
      </c>
      <c r="H11" s="9" t="n"/>
      <c r="I11" s="9" t="n"/>
      <c r="J11" s="9" t="n"/>
    </row>
    <row r="12">
      <c r="A12" s="7" t="inlineStr">
        <is>
          <t>W2</t>
        </is>
      </c>
      <c r="B12" s="7" t="inlineStr">
        <is>
          <t>신규 콘텐츠 + A/B</t>
        </is>
      </c>
      <c r="C12" s="8">
        <f>$B$2+7</f>
        <v/>
      </c>
      <c r="D12" s="7" t="inlineStr">
        <is>
          <t>월</t>
        </is>
      </c>
      <c r="E12" s="7" t="inlineStr">
        <is>
          <t>커뮤니티</t>
        </is>
      </c>
      <c r="F12" s="7" t="inlineStr">
        <is>
          <t>설문 결과 발표 + 화요일 공개 예고</t>
        </is>
      </c>
      <c r="G12" s="7" t="inlineStr">
        <is>
          <t>게시글</t>
        </is>
      </c>
      <c r="H12" s="9" t="n"/>
      <c r="I12" s="9" t="n"/>
      <c r="J12" s="9" t="n"/>
    </row>
    <row r="13">
      <c r="A13" s="7" t="inlineStr">
        <is>
          <t>W2</t>
        </is>
      </c>
      <c r="B13" s="7" t="inlineStr">
        <is>
          <t>신규 콘텐츠 + A/B</t>
        </is>
      </c>
      <c r="C13" s="8">
        <f>$B$2+8</f>
        <v/>
      </c>
      <c r="D13" s="7" t="inlineStr">
        <is>
          <t>화</t>
        </is>
      </c>
      <c r="E13" s="7" t="inlineStr">
        <is>
          <t>업로드</t>
        </is>
      </c>
      <c r="F13" s="7" t="inlineStr">
        <is>
          <t>롱폼 #1 공개 (새 제목 공식, 썸네일 A/B 3종)</t>
        </is>
      </c>
      <c r="G13" s="7" t="inlineStr">
        <is>
          <t>CTR 48h</t>
        </is>
      </c>
      <c r="H13" s="9" t="n"/>
      <c r="I13" s="9" t="n"/>
      <c r="J13" s="9" t="n"/>
    </row>
    <row r="14">
      <c r="A14" s="7" t="inlineStr">
        <is>
          <t>W2</t>
        </is>
      </c>
      <c r="B14" s="7" t="inlineStr">
        <is>
          <t>신규 콘텐츠 + A/B</t>
        </is>
      </c>
      <c r="C14" s="8">
        <f>$B$2+9</f>
        <v/>
      </c>
      <c r="D14" s="7" t="inlineStr">
        <is>
          <t>수</t>
        </is>
      </c>
      <c r="E14" s="7" t="inlineStr">
        <is>
          <t>쇼츠</t>
        </is>
      </c>
      <c r="F14" s="7" t="inlineStr">
        <is>
          <t>쇼츠 2편, 관련 동영상 링크 → 롱폼 #1</t>
        </is>
      </c>
      <c r="G14" s="7" t="inlineStr">
        <is>
          <t>쇼츠→롱폼 클릭</t>
        </is>
      </c>
      <c r="H14" s="9" t="n"/>
      <c r="I14" s="9" t="n"/>
      <c r="J14" s="9" t="n"/>
    </row>
    <row r="15">
      <c r="A15" s="7" t="inlineStr">
        <is>
          <t>W2</t>
        </is>
      </c>
      <c r="B15" s="7" t="inlineStr">
        <is>
          <t>신규 콘텐츠 + A/B</t>
        </is>
      </c>
      <c r="C15" s="8">
        <f>$B$2+10</f>
        <v/>
      </c>
      <c r="D15" s="7" t="inlineStr">
        <is>
          <t>목</t>
        </is>
      </c>
      <c r="E15" s="7" t="inlineStr">
        <is>
          <t>커뮤니티</t>
        </is>
      </c>
      <c r="F15" s="7" t="inlineStr">
        <is>
          <t>팁 카드 1건 + 댓글 전체 답변</t>
        </is>
      </c>
      <c r="G15" s="7" t="inlineStr">
        <is>
          <t>답변율 100%</t>
        </is>
      </c>
      <c r="H15" s="9" t="n"/>
      <c r="I15" s="9" t="n"/>
      <c r="J15" s="9" t="n"/>
    </row>
    <row r="16">
      <c r="A16" s="7" t="inlineStr">
        <is>
          <t>W2</t>
        </is>
      </c>
      <c r="B16" s="7" t="inlineStr">
        <is>
          <t>신규 콘텐츠 + A/B</t>
        </is>
      </c>
      <c r="C16" s="8">
        <f>$B$2+11</f>
        <v/>
      </c>
      <c r="D16" s="7" t="inlineStr">
        <is>
          <t>금</t>
        </is>
      </c>
      <c r="E16" s="7" t="inlineStr">
        <is>
          <t>업로드</t>
        </is>
      </c>
      <c r="F16" s="7" t="inlineStr">
        <is>
          <t>롱폼 #2 공개 (다른 시리즈, 썸네일 A/B)</t>
        </is>
      </c>
      <c r="G16" s="7" t="inlineStr">
        <is>
          <t>CTR 48h</t>
        </is>
      </c>
      <c r="H16" s="9" t="n"/>
      <c r="I16" s="9" t="n"/>
      <c r="J16" s="9" t="n"/>
    </row>
    <row r="17">
      <c r="A17" s="7" t="inlineStr">
        <is>
          <t>W2</t>
        </is>
      </c>
      <c r="B17" s="7" t="inlineStr">
        <is>
          <t>신규 콘텐츠 + A/B</t>
        </is>
      </c>
      <c r="C17" s="8">
        <f>$B$2+12</f>
        <v/>
      </c>
      <c r="D17" s="7" t="inlineStr">
        <is>
          <t>토</t>
        </is>
      </c>
      <c r="E17" s="7" t="inlineStr">
        <is>
          <t>쇼츠</t>
        </is>
      </c>
      <c r="F17" s="7" t="inlineStr">
        <is>
          <t>쇼츠 3편 (롱폼 #2 클립 + 훅형)</t>
        </is>
      </c>
      <c r="G17" s="7" t="inlineStr">
        <is>
          <t>쇼츠 조회수</t>
        </is>
      </c>
      <c r="H17" s="9" t="n"/>
      <c r="I17" s="9" t="n"/>
      <c r="J17" s="9" t="n"/>
    </row>
    <row r="18">
      <c r="A18" s="7" t="inlineStr">
        <is>
          <t>W2</t>
        </is>
      </c>
      <c r="B18" s="7" t="inlineStr">
        <is>
          <t>신규 콘텐츠 + A/B</t>
        </is>
      </c>
      <c r="C18" s="8">
        <f>$B$2+13</f>
        <v/>
      </c>
      <c r="D18" s="7" t="inlineStr">
        <is>
          <t>일</t>
        </is>
      </c>
      <c r="E18" s="7" t="inlineStr">
        <is>
          <t>측정</t>
        </is>
      </c>
      <c r="F18" s="7" t="inlineStr">
        <is>
          <t>주간 지표 기록, 저CTR 썸네일 교체</t>
        </is>
      </c>
      <c r="G18" s="7" t="inlineStr">
        <is>
          <t>KPI 시트 W2</t>
        </is>
      </c>
      <c r="H18" s="9" t="n"/>
      <c r="I18" s="9" t="n"/>
      <c r="J18" s="9" t="n"/>
    </row>
    <row r="19">
      <c r="A19" s="7" t="inlineStr">
        <is>
          <t>W3</t>
        </is>
      </c>
      <c r="B19" s="7" t="inlineStr">
        <is>
          <t>글로벌·첫 7일 루틴</t>
        </is>
      </c>
      <c r="C19" s="8">
        <f>$B$2+14</f>
        <v/>
      </c>
      <c r="D19" s="7" t="inlineStr">
        <is>
          <t>월</t>
        </is>
      </c>
      <c r="E19" s="7" t="inlineStr">
        <is>
          <t>글로벌</t>
        </is>
      </c>
      <c r="F19" s="7" t="inlineStr">
        <is>
          <t>상위 10개 영상 영어·일본어 제목·설명 입력</t>
        </is>
      </c>
      <c r="G19" s="7" t="inlineStr">
        <is>
          <t>번역 메타 10편</t>
        </is>
      </c>
      <c r="H19" s="9" t="n"/>
      <c r="I19" s="9" t="n"/>
      <c r="J19" s="9" t="n"/>
    </row>
    <row r="20">
      <c r="A20" s="7" t="inlineStr">
        <is>
          <t>W3</t>
        </is>
      </c>
      <c r="B20" s="7" t="inlineStr">
        <is>
          <t>글로벌·첫 7일 루틴</t>
        </is>
      </c>
      <c r="C20" s="8">
        <f>$B$2+15</f>
        <v/>
      </c>
      <c r="D20" s="7" t="inlineStr">
        <is>
          <t>화</t>
        </is>
      </c>
      <c r="E20" s="7" t="inlineStr">
        <is>
          <t>업로드</t>
        </is>
      </c>
      <c r="F20" s="7" t="inlineStr">
        <is>
          <t>롱폼 #3 공개 + 첫 7일 체크리스트 D-0 실행</t>
        </is>
      </c>
      <c r="G20" s="7" t="inlineStr">
        <is>
          <t>체크리스트 완료</t>
        </is>
      </c>
      <c r="H20" s="9" t="n"/>
      <c r="I20" s="9" t="n"/>
      <c r="J20" s="9" t="n"/>
    </row>
    <row r="21">
      <c r="A21" s="7" t="inlineStr">
        <is>
          <t>W3</t>
        </is>
      </c>
      <c r="B21" s="7" t="inlineStr">
        <is>
          <t>글로벌·첫 7일 루틴</t>
        </is>
      </c>
      <c r="C21" s="8">
        <f>$B$2+16</f>
        <v/>
      </c>
      <c r="D21" s="7" t="inlineStr">
        <is>
          <t>수</t>
        </is>
      </c>
      <c r="E21" s="7" t="inlineStr">
        <is>
          <t>배포</t>
        </is>
      </c>
      <c r="F21" s="7" t="inlineStr">
        <is>
          <t>인스타 릴스·맘카페·블로그 임베드</t>
        </is>
      </c>
      <c r="G21" s="7" t="inlineStr">
        <is>
          <t>외부 유입 수</t>
        </is>
      </c>
      <c r="H21" s="9" t="n"/>
      <c r="I21" s="9" t="n"/>
      <c r="J21" s="9" t="n"/>
    </row>
    <row r="22">
      <c r="A22" s="7" t="inlineStr">
        <is>
          <t>W3</t>
        </is>
      </c>
      <c r="B22" s="7" t="inlineStr">
        <is>
          <t>글로벌·첫 7일 루틴</t>
        </is>
      </c>
      <c r="C22" s="8">
        <f>$B$2+17</f>
        <v/>
      </c>
      <c r="D22" s="7" t="inlineStr">
        <is>
          <t>목</t>
        </is>
      </c>
      <c r="E22" s="7" t="inlineStr">
        <is>
          <t>커뮤니티</t>
        </is>
      </c>
      <c r="F22" s="7" t="inlineStr">
        <is>
          <t>Hype 요청 게시 (자격 충족 시) + 팁 카드</t>
        </is>
      </c>
      <c r="G22" s="7" t="inlineStr">
        <is>
          <t>하이프 수</t>
        </is>
      </c>
      <c r="H22" s="9" t="n"/>
      <c r="I22" s="9" t="n"/>
      <c r="J22" s="9" t="n"/>
    </row>
    <row r="23">
      <c r="A23" s="7" t="inlineStr">
        <is>
          <t>W3</t>
        </is>
      </c>
      <c r="B23" s="7" t="inlineStr">
        <is>
          <t>글로벌·첫 7일 루틴</t>
        </is>
      </c>
      <c r="C23" s="8">
        <f>$B$2+18</f>
        <v/>
      </c>
      <c r="D23" s="7" t="inlineStr">
        <is>
          <t>금</t>
        </is>
      </c>
      <c r="E23" s="7" t="inlineStr">
        <is>
          <t>업로드</t>
        </is>
      </c>
      <c r="F23" s="7" t="inlineStr">
        <is>
          <t>롱폼 #4 공개 (해외 타깃, KST 09:00 예약)</t>
        </is>
      </c>
      <c r="G23" s="7" t="inlineStr">
        <is>
          <t>해외 조회 비율</t>
        </is>
      </c>
      <c r="H23" s="9" t="n"/>
      <c r="I23" s="9" t="n"/>
      <c r="J23" s="9" t="n"/>
    </row>
    <row r="24">
      <c r="A24" s="7" t="inlineStr">
        <is>
          <t>W3</t>
        </is>
      </c>
      <c r="B24" s="7" t="inlineStr">
        <is>
          <t>글로벌·첫 7일 루틴</t>
        </is>
      </c>
      <c r="C24" s="8">
        <f>$B$2+19</f>
        <v/>
      </c>
      <c r="D24" s="7" t="inlineStr">
        <is>
          <t>토</t>
        </is>
      </c>
      <c r="E24" s="7" t="inlineStr">
        <is>
          <t>쇼츠</t>
        </is>
      </c>
      <c r="F24" s="7" t="inlineStr">
        <is>
          <t>쇼츠 3편 (영어 자막 포함)</t>
        </is>
      </c>
      <c r="G24" s="7" t="inlineStr">
        <is>
          <t>쇼츠 조회수</t>
        </is>
      </c>
      <c r="H24" s="9" t="n"/>
      <c r="I24" s="9" t="n"/>
      <c r="J24" s="9" t="n"/>
    </row>
    <row r="25">
      <c r="A25" s="7" t="inlineStr">
        <is>
          <t>W3</t>
        </is>
      </c>
      <c r="B25" s="7" t="inlineStr">
        <is>
          <t>글로벌·첫 7일 루틴</t>
        </is>
      </c>
      <c r="C25" s="8">
        <f>$B$2+20</f>
        <v/>
      </c>
      <c r="D25" s="7" t="inlineStr">
        <is>
          <t>일</t>
        </is>
      </c>
      <c r="E25" s="7" t="inlineStr">
        <is>
          <t>측정</t>
        </is>
      </c>
      <c r="F25" s="7" t="inlineStr">
        <is>
          <t>초기 48시간 조회 추이 기록</t>
        </is>
      </c>
      <c r="G25" s="7" t="inlineStr">
        <is>
          <t>KPI 시트 W3</t>
        </is>
      </c>
      <c r="H25" s="9" t="n"/>
      <c r="I25" s="9" t="n"/>
      <c r="J25" s="9" t="n"/>
    </row>
    <row r="26">
      <c r="A26" s="7" t="inlineStr">
        <is>
          <t>W4</t>
        </is>
      </c>
      <c r="B26" s="7" t="inlineStr">
        <is>
          <t>리뷰·재작성</t>
        </is>
      </c>
      <c r="C26" s="8">
        <f>$B$2+21</f>
        <v/>
      </c>
      <c r="D26" s="7" t="inlineStr">
        <is>
          <t>월</t>
        </is>
      </c>
      <c r="E26" s="7" t="inlineStr">
        <is>
          <t>분석</t>
        </is>
      </c>
      <c r="F26" s="7" t="inlineStr">
        <is>
          <t>4주 지표 리뷰: 노출·CTR·AVD 전월 대비</t>
        </is>
      </c>
      <c r="G26" s="7" t="inlineStr">
        <is>
          <t>리뷰 노트</t>
        </is>
      </c>
      <c r="H26" s="9" t="n"/>
      <c r="I26" s="9" t="n"/>
      <c r="J26" s="9" t="n"/>
    </row>
    <row r="27">
      <c r="A27" s="7" t="inlineStr">
        <is>
          <t>W4</t>
        </is>
      </c>
      <c r="B27" s="7" t="inlineStr">
        <is>
          <t>리뷰·재작성</t>
        </is>
      </c>
      <c r="C27" s="8">
        <f>$B$2+22</f>
        <v/>
      </c>
      <c r="D27" s="7" t="inlineStr">
        <is>
          <t>화</t>
        </is>
      </c>
      <c r="E27" s="7" t="inlineStr">
        <is>
          <t>분석</t>
        </is>
      </c>
      <c r="F27" s="7" t="inlineStr">
        <is>
          <t>A/B 승자 썸네일 패턴 확정 → 가이드 반영</t>
        </is>
      </c>
      <c r="G27" s="7" t="inlineStr">
        <is>
          <t>thumbnail_guide 갱신</t>
        </is>
      </c>
      <c r="H27" s="9" t="n"/>
      <c r="I27" s="9" t="n"/>
      <c r="J27" s="9" t="n"/>
    </row>
    <row r="28">
      <c r="A28" s="7" t="inlineStr">
        <is>
          <t>W4</t>
        </is>
      </c>
      <c r="B28" s="7" t="inlineStr">
        <is>
          <t>리뷰·재작성</t>
        </is>
      </c>
      <c r="C28" s="8">
        <f>$B$2+23</f>
        <v/>
      </c>
      <c r="D28" s="7" t="inlineStr">
        <is>
          <t>수</t>
        </is>
      </c>
      <c r="E28" s="7" t="inlineStr">
        <is>
          <t>재작성</t>
        </is>
      </c>
      <c r="F28" s="7" t="inlineStr">
        <is>
          <t>저성과 영상 10편 제목·설명 재작성</t>
        </is>
      </c>
      <c r="G28" s="7" t="inlineStr">
        <is>
          <t>check_metadata.py 통과</t>
        </is>
      </c>
      <c r="H28" s="9" t="n"/>
      <c r="I28" s="9" t="n"/>
      <c r="J28" s="9" t="n"/>
    </row>
    <row r="29">
      <c r="A29" s="7" t="inlineStr">
        <is>
          <t>W4</t>
        </is>
      </c>
      <c r="B29" s="7" t="inlineStr">
        <is>
          <t>리뷰·재작성</t>
        </is>
      </c>
      <c r="C29" s="8">
        <f>$B$2+24</f>
        <v/>
      </c>
      <c r="D29" s="7" t="inlineStr">
        <is>
          <t>목</t>
        </is>
      </c>
      <c r="E29" s="7" t="inlineStr">
        <is>
          <t>업로드</t>
        </is>
      </c>
      <c r="F29" s="7" t="inlineStr">
        <is>
          <t>롱폼 #5 공개 (승자 패턴 적용)</t>
        </is>
      </c>
      <c r="G29" s="7" t="inlineStr">
        <is>
          <t>CTR 48h</t>
        </is>
      </c>
      <c r="H29" s="9" t="n"/>
      <c r="I29" s="9" t="n"/>
      <c r="J29" s="9" t="n"/>
    </row>
    <row r="30">
      <c r="A30" s="7" t="inlineStr">
        <is>
          <t>W4</t>
        </is>
      </c>
      <c r="B30" s="7" t="inlineStr">
        <is>
          <t>리뷰·재작성</t>
        </is>
      </c>
      <c r="C30" s="8">
        <f>$B$2+25</f>
        <v/>
      </c>
      <c r="D30" s="7" t="inlineStr">
        <is>
          <t>금</t>
        </is>
      </c>
      <c r="E30" s="7" t="inlineStr">
        <is>
          <t>커뮤니티</t>
        </is>
      </c>
      <c r="F30" s="7" t="inlineStr">
        <is>
          <t>후기 공유 + 다음 달 라인업 설문</t>
        </is>
      </c>
      <c r="G30" s="7" t="inlineStr">
        <is>
          <t>응답 수</t>
        </is>
      </c>
      <c r="H30" s="9" t="n"/>
      <c r="I30" s="9" t="n"/>
      <c r="J30" s="9" t="n"/>
    </row>
    <row r="31">
      <c r="A31" s="7" t="inlineStr">
        <is>
          <t>W4</t>
        </is>
      </c>
      <c r="B31" s="7" t="inlineStr">
        <is>
          <t>리뷰·재작성</t>
        </is>
      </c>
      <c r="C31" s="8">
        <f>$B$2+26</f>
        <v/>
      </c>
      <c r="D31" s="7" t="inlineStr">
        <is>
          <t>토</t>
        </is>
      </c>
      <c r="E31" s="7" t="inlineStr">
        <is>
          <t>쇼츠</t>
        </is>
      </c>
      <c r="F31" s="7" t="inlineStr">
        <is>
          <t>쇼츠 2편</t>
        </is>
      </c>
      <c r="G31" s="7" t="inlineStr">
        <is>
          <t>쇼츠 조회수</t>
        </is>
      </c>
      <c r="H31" s="9" t="n"/>
      <c r="I31" s="9" t="n"/>
      <c r="J31" s="9" t="n"/>
    </row>
    <row r="32">
      <c r="A32" s="7" t="inlineStr">
        <is>
          <t>W4</t>
        </is>
      </c>
      <c r="B32" s="7" t="inlineStr">
        <is>
          <t>리뷰·재작성</t>
        </is>
      </c>
      <c r="C32" s="8">
        <f>$B$2+27</f>
        <v/>
      </c>
      <c r="D32" s="7" t="inlineStr">
        <is>
          <t>일</t>
        </is>
      </c>
      <c r="E32" s="7" t="inlineStr">
        <is>
          <t>측정</t>
        </is>
      </c>
      <c r="F32" s="7" t="inlineStr">
        <is>
          <t>월간 KPI 마감, 다음 4주 계획 초안</t>
        </is>
      </c>
      <c r="G32" s="7" t="inlineStr">
        <is>
          <t>KPI 시트 W4</t>
        </is>
      </c>
      <c r="H32" s="9" t="n"/>
      <c r="I32" s="9" t="n"/>
      <c r="J32" s="9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inlineStr">
        <is>
          <t>완료 건수</t>
        </is>
      </c>
      <c r="B34" s="2">
        <f>COUNTIF(I5:I32,"Y")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inlineStr">
        <is>
          <t>전체 건수</t>
        </is>
      </c>
      <c r="B35" s="2">
        <f>COUNTA(F5:F32)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inlineStr">
        <is>
          <t>진행률</t>
        </is>
      </c>
      <c r="B36" s="10">
        <f>IF(B35=0,0,B34/B35)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</cols>
  <sheetData>
    <row r="1">
      <c r="A1" s="6" t="inlineStr">
        <is>
          <t>주차</t>
        </is>
      </c>
      <c r="B1" s="6" t="inlineStr">
        <is>
          <t>테마</t>
        </is>
      </c>
      <c r="C1" s="6" t="inlineStr">
        <is>
          <t>업로드</t>
        </is>
      </c>
      <c r="D1" s="6" t="inlineStr">
        <is>
          <t>쇼츠</t>
        </is>
      </c>
      <c r="E1" s="6" t="inlineStr">
        <is>
          <t>커뮤니티</t>
        </is>
      </c>
      <c r="F1" s="6" t="inlineStr">
        <is>
          <t>측정 항목</t>
        </is>
      </c>
    </row>
    <row r="2">
      <c r="A2" s="11" t="inlineStr">
        <is>
          <t>W1</t>
        </is>
      </c>
      <c r="B2" s="11" t="inlineStr">
        <is>
          <t>점검·세팅</t>
        </is>
      </c>
      <c r="C2" s="11">
        <f>COUNTIFS('4주 캘린더'!$A$5:$A$32,A2,'4주 캘린더'!$E$5:$E$32,"업로드")</f>
        <v/>
      </c>
      <c r="D2" s="11">
        <f>COUNTIFS('4주 캘린더'!$A$5:$A$32,A2,'4주 캘린더'!$E$5:$E$32,"쇼츠")</f>
        <v/>
      </c>
      <c r="E2" s="11">
        <f>COUNTIFS('4주 캘린더'!$A$5:$A$32,A2,'4주 캘린더'!$E$5:$E$32,"커뮤니티")</f>
        <v/>
      </c>
      <c r="F2" s="11" t="inlineStr">
        <is>
          <t>기준선 노출·CTR·AVD</t>
        </is>
      </c>
    </row>
    <row r="3">
      <c r="A3" s="11" t="inlineStr">
        <is>
          <t>W2</t>
        </is>
      </c>
      <c r="B3" s="11" t="inlineStr">
        <is>
          <t>신규 콘텐츠 + A/B</t>
        </is>
      </c>
      <c r="C3" s="11">
        <f>COUNTIFS('4주 캘린더'!$A$5:$A$32,A3,'4주 캘린더'!$E$5:$E$32,"업로드")</f>
        <v/>
      </c>
      <c r="D3" s="11">
        <f>COUNTIFS('4주 캘린더'!$A$5:$A$32,A3,'4주 캘린더'!$E$5:$E$32,"쇼츠")</f>
        <v/>
      </c>
      <c r="E3" s="11">
        <f>COUNTIFS('4주 캘린더'!$A$5:$A$32,A3,'4주 캘린더'!$E$5:$E$32,"커뮤니티")</f>
        <v/>
      </c>
      <c r="F3" s="11" t="inlineStr">
        <is>
          <t>CTR 48h, 쇼츠→롱폼 클릭</t>
        </is>
      </c>
    </row>
    <row r="4">
      <c r="A4" s="11" t="inlineStr">
        <is>
          <t>W3</t>
        </is>
      </c>
      <c r="B4" s="11" t="inlineStr">
        <is>
          <t>글로벌·첫 7일 루틴</t>
        </is>
      </c>
      <c r="C4" s="11">
        <f>COUNTIFS('4주 캘린더'!$A$5:$A$32,A4,'4주 캘린더'!$E$5:$E$32,"업로드")</f>
        <v/>
      </c>
      <c r="D4" s="11">
        <f>COUNTIFS('4주 캘린더'!$A$5:$A$32,A4,'4주 캘린더'!$E$5:$E$32,"쇼츠")</f>
        <v/>
      </c>
      <c r="E4" s="11">
        <f>COUNTIFS('4주 캘린더'!$A$5:$A$32,A4,'4주 캘린더'!$E$5:$E$32,"커뮤니티")</f>
        <v/>
      </c>
      <c r="F4" s="11" t="inlineStr">
        <is>
          <t>해외 조회 비율, 하이프 수</t>
        </is>
      </c>
    </row>
    <row r="5">
      <c r="A5" s="11" t="inlineStr">
        <is>
          <t>W4</t>
        </is>
      </c>
      <c r="B5" s="11" t="inlineStr">
        <is>
          <t>리뷰·재작성</t>
        </is>
      </c>
      <c r="C5" s="11">
        <f>COUNTIFS('4주 캘린더'!$A$5:$A$32,A5,'4주 캘린더'!$E$5:$E$32,"업로드")</f>
        <v/>
      </c>
      <c r="D5" s="11">
        <f>COUNTIFS('4주 캘린더'!$A$5:$A$32,A5,'4주 캘린더'!$E$5:$E$32,"쇼츠")</f>
        <v/>
      </c>
      <c r="E5" s="11">
        <f>COUNTIFS('4주 캘린더'!$A$5:$A$32,A5,'4주 캘린더'!$E$5:$E$32,"커뮤니티")</f>
        <v/>
      </c>
      <c r="F5" s="11" t="inlineStr">
        <is>
          <t>전월 대비 노출·AVD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2026-09-16T09:41:03Z</dcterms:created>
  <dcterms:modified xsi:type="dcterms:W3CDTF">2026-09-16T09:41:03Z</dcterms:modified>
</cp:coreProperties>
</file>