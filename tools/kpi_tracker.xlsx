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" sheetId="1" state="visible" r:id="rId1"/>
    <sheet name="영상별 7일 로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+0.0%;-0.0%;0.0%"/>
    <numFmt numFmtId="165" formatCode="0.0%"/>
    <numFmt numFmtId="166" formatCode="#,##0.0"/>
    <numFmt numFmtId="167" formatCode="yyyy-mm-dd"/>
    <numFmt numFmtId="168" formatCode="0.0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</font>
    <font>
      <name val="Arial"/>
      <b val="1"/>
      <color rgb="00FFFFFF"/>
    </font>
    <font>
      <name val="Arial"/>
    </font>
    <font>
      <name val="Arial"/>
      <color rgb="000000FF"/>
    </font>
    <font>
      <name val="Arial"/>
      <color rgb="00666666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B2A49"/>
      </patternFill>
    </fill>
    <fill>
      <patternFill patternType="solid">
        <fgColor rgb="00FFFF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3" fontId="4" fillId="0" borderId="1" applyAlignment="1" pivotButton="0" quotePrefix="0" xfId="0">
      <alignment vertical="top" wrapText="1"/>
    </xf>
    <xf numFmtId="3" fontId="5" fillId="3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165" fontId="5" fillId="3" borderId="1" applyAlignment="1" pivotButton="0" quotePrefix="0" xfId="0">
      <alignment vertical="top" wrapText="1"/>
    </xf>
    <xf numFmtId="166" fontId="5" fillId="3" borderId="1" applyAlignment="1" pivotButton="0" quotePrefix="0" xfId="0">
      <alignment vertical="top" wrapText="1"/>
    </xf>
    <xf numFmtId="165" fontId="4" fillId="0" borderId="1" applyAlignment="1" pivotButton="0" quotePrefix="0" xfId="0">
      <alignment vertical="top" wrapText="1"/>
    </xf>
    <xf numFmtId="0" fontId="7" fillId="0" borderId="0" pivotButton="0" quotePrefix="0" xfId="0"/>
    <xf numFmtId="167" fontId="5" fillId="3" borderId="1" pivotButton="0" quotePrefix="0" xfId="0"/>
    <xf numFmtId="0" fontId="5" fillId="3" borderId="1" pivotButton="0" quotePrefix="0" xfId="0"/>
    <xf numFmtId="165" fontId="5" fillId="3" borderId="1" pivotButton="0" quotePrefix="0" xfId="0"/>
    <xf numFmtId="168" fontId="5" fillId="3" borderId="1" pivotButton="0" quotePrefix="0" xfId="0"/>
    <xf numFmtId="3" fontId="7" fillId="0" borderId="0" pivotButton="0" quotePrefix="0" xfId="0"/>
    <xf numFmtId="165" fontId="7" fillId="0" borderId="0" pivotButton="0" quotePrefix="0" xfId="0"/>
    <xf numFmtId="168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plan</author>
  </authors>
  <commentList>
    <comment ref="E5" authorId="0" shapeId="0">
      <text>
        <t>예시 값입니다. 스튜디오의 실제 28일 노출수로 교체하세요.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" customWidth="1" min="2" max="2"/>
    <col width="18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8" customWidth="1" min="11" max="11"/>
    <col width="48" customWidth="1" min="12" max="12"/>
  </cols>
  <sheetData>
    <row r="1">
      <c r="A1" s="1" t="inlineStr">
        <is>
          <t>아기 수면음악 채널 KPI 추적 (28일 기준)</t>
        </is>
      </c>
    </row>
    <row r="2">
      <c r="A2" s="2" t="inlineStr">
        <is>
          <t>노란 배경·파란 글씨 셀에 스튜디오 값을 입력하세요. 비율은 소수(4% = 0.04)로 입력합니다. 달성 여부·변화율은 자동 계산됩니다.</t>
        </is>
      </c>
    </row>
    <row r="4">
      <c r="A4" s="3" t="inlineStr">
        <is>
          <t>지표</t>
        </is>
      </c>
      <c r="B4" s="3" t="inlineStr">
        <is>
          <t>단위</t>
        </is>
      </c>
      <c r="C4" s="3" t="inlineStr">
        <is>
          <t>목표 규칙</t>
        </is>
      </c>
      <c r="D4" s="3" t="inlineStr">
        <is>
          <t>목표값</t>
        </is>
      </c>
      <c r="E4" s="3" t="inlineStr">
        <is>
          <t>W0 기준선</t>
        </is>
      </c>
      <c r="F4" s="3" t="inlineStr">
        <is>
          <t>W1</t>
        </is>
      </c>
      <c r="G4" s="3" t="inlineStr">
        <is>
          <t>W2</t>
        </is>
      </c>
      <c r="H4" s="3" t="inlineStr">
        <is>
          <t>W3</t>
        </is>
      </c>
      <c r="I4" s="3" t="inlineStr">
        <is>
          <t>W4</t>
        </is>
      </c>
      <c r="J4" s="3" t="inlineStr">
        <is>
          <t>W4 vs W0</t>
        </is>
      </c>
      <c r="K4" s="3" t="inlineStr">
        <is>
          <t>달성</t>
        </is>
      </c>
      <c r="L4" s="3" t="inlineStr">
        <is>
          <t>설명</t>
        </is>
      </c>
    </row>
    <row r="5">
      <c r="A5" s="4" t="inlineStr">
        <is>
          <t>노출수</t>
        </is>
      </c>
      <c r="B5" s="4" t="inlineStr">
        <is>
          <t>회</t>
        </is>
      </c>
      <c r="C5" s="4" t="inlineStr">
        <is>
          <t>전월 대비 +50%</t>
        </is>
      </c>
      <c r="D5" s="5">
        <f>IF(ISNUMBER(E5),E5*1.5,"")</f>
        <v/>
      </c>
      <c r="E5" s="6" t="n">
        <v>120000</v>
      </c>
      <c r="F5" s="6" t="n"/>
      <c r="G5" s="6" t="n"/>
      <c r="H5" s="6" t="n"/>
      <c r="I5" s="6" t="n"/>
      <c r="J5" s="7">
        <f>IF(AND(ISNUMBER(E5),ISNUMBER(I5),E5&lt;&gt;0),I5/E5-1,"")</f>
        <v/>
      </c>
      <c r="K5" s="4">
        <f>IF(OR(NOT(ISNUMBER(I5)),D5=""),"",IF(I5&gt;=D5,"달성","미달"))</f>
        <v/>
      </c>
      <c r="L5" s="8" t="inlineStr">
        <is>
          <t>스튜디오 &gt; 도달범위 &gt; 노출수. 목표는 기준선×1.5로 자동 계산</t>
        </is>
      </c>
    </row>
    <row r="6">
      <c r="A6" s="4" t="inlineStr">
        <is>
          <t>노출 클릭률</t>
        </is>
      </c>
      <c r="B6" s="4" t="inlineStr">
        <is>
          <t>%</t>
        </is>
      </c>
      <c r="C6" s="4" t="inlineStr">
        <is>
          <t>4% 이상</t>
        </is>
      </c>
      <c r="D6" s="9" t="n">
        <v>0.04</v>
      </c>
      <c r="E6" s="9" t="n"/>
      <c r="F6" s="9" t="n"/>
      <c r="G6" s="9" t="n"/>
      <c r="H6" s="9" t="n"/>
      <c r="I6" s="9" t="n"/>
      <c r="J6" s="7">
        <f>IF(AND(ISNUMBER(E6),ISNUMBER(I6),E6&lt;&gt;0),I6/E6-1,"")</f>
        <v/>
      </c>
      <c r="K6" s="4">
        <f>IF(OR(NOT(ISNUMBER(I6)),D6=""),"",IF(I6&gt;=D6,"달성","미달"))</f>
        <v/>
      </c>
      <c r="L6" s="8" t="inlineStr">
        <is>
          <t>스튜디오 &gt; 도달범위. 소수로 입력 (4% = 0.04)</t>
        </is>
      </c>
    </row>
    <row r="7">
      <c r="A7" s="4" t="inlineStr">
        <is>
          <t>평균 시청 지속 시간(분)</t>
        </is>
      </c>
      <c r="B7" s="4" t="inlineStr">
        <is>
          <t>분</t>
        </is>
      </c>
      <c r="C7" s="4" t="inlineStr">
        <is>
          <t>12분 이상</t>
        </is>
      </c>
      <c r="D7" s="10" t="n">
        <v>12</v>
      </c>
      <c r="E7" s="10" t="n"/>
      <c r="F7" s="10" t="n"/>
      <c r="G7" s="10" t="n"/>
      <c r="H7" s="10" t="n"/>
      <c r="I7" s="10" t="n"/>
      <c r="J7" s="7">
        <f>IF(AND(ISNUMBER(E7),ISNUMBER(I7),E7&lt;&gt;0),I7/E7-1,"")</f>
        <v/>
      </c>
      <c r="K7" s="4">
        <f>IF(OR(NOT(ISNUMBER(I7)),D7=""),"",IF(I7&gt;=D7,"달성","미달"))</f>
        <v/>
      </c>
      <c r="L7" s="8" t="inlineStr">
        <is>
          <t>롱폼 기준. 스튜디오 &gt; 참여도</t>
        </is>
      </c>
    </row>
    <row r="8">
      <c r="A8" s="4" t="inlineStr">
        <is>
          <t>추천 동영상 트래픽 비율</t>
        </is>
      </c>
      <c r="B8" s="4" t="inlineStr">
        <is>
          <t>%</t>
        </is>
      </c>
      <c r="C8" s="4" t="inlineStr">
        <is>
          <t>40% 이상</t>
        </is>
      </c>
      <c r="D8" s="9" t="n">
        <v>0.4</v>
      </c>
      <c r="E8" s="9" t="n"/>
      <c r="F8" s="9" t="n"/>
      <c r="G8" s="9" t="n"/>
      <c r="H8" s="9" t="n"/>
      <c r="I8" s="9" t="n"/>
      <c r="J8" s="7">
        <f>IF(AND(ISNUMBER(E8),ISNUMBER(I8),E8&lt;&gt;0),I8/E8-1,"")</f>
        <v/>
      </c>
      <c r="K8" s="4">
        <f>IF(OR(NOT(ISNUMBER(I8)),D8=""),"",IF(I8&gt;=D8,"달성","미달"))</f>
        <v/>
      </c>
      <c r="L8" s="8" t="inlineStr">
        <is>
          <t>트래픽 소스 중 '추천 동영상' 비율, 소수 입력</t>
        </is>
      </c>
    </row>
    <row r="9">
      <c r="A9" s="4" t="inlineStr">
        <is>
          <t>재방문 시청자 비율</t>
        </is>
      </c>
      <c r="B9" s="4" t="inlineStr">
        <is>
          <t>%</t>
        </is>
      </c>
      <c r="C9" s="4" t="inlineStr">
        <is>
          <t>25% 이상</t>
        </is>
      </c>
      <c r="D9" s="9" t="n">
        <v>0.25</v>
      </c>
      <c r="E9" s="9" t="n"/>
      <c r="F9" s="9" t="n"/>
      <c r="G9" s="9" t="n"/>
      <c r="H9" s="9" t="n"/>
      <c r="I9" s="9" t="n"/>
      <c r="J9" s="7">
        <f>IF(AND(ISNUMBER(E9),ISNUMBER(I9),E9&lt;&gt;0),I9/E9-1,"")</f>
        <v/>
      </c>
      <c r="K9" s="4">
        <f>IF(OR(NOT(ISNUMBER(I9)),D9=""),"",IF(I9&gt;=D9,"달성","미달"))</f>
        <v/>
      </c>
      <c r="L9" s="8" t="inlineStr">
        <is>
          <t>시청자층 &gt; 재방문 시청자 / 전체</t>
        </is>
      </c>
    </row>
    <row r="10">
      <c r="A10" s="4" t="inlineStr">
        <is>
          <t>구독자 순증</t>
        </is>
      </c>
      <c r="B10" s="4" t="inlineStr">
        <is>
          <t>명</t>
        </is>
      </c>
      <c r="C10" s="4" t="inlineStr">
        <is>
          <t>기준선 대비 증가</t>
        </is>
      </c>
      <c r="D10" s="5">
        <f>IF(ISNUMBER(E10),E10,"")</f>
        <v/>
      </c>
      <c r="E10" s="6" t="n"/>
      <c r="F10" s="6" t="n"/>
      <c r="G10" s="6" t="n"/>
      <c r="H10" s="6" t="n"/>
      <c r="I10" s="6" t="n"/>
      <c r="J10" s="7">
        <f>IF(AND(ISNUMBER(E10),ISNUMBER(I10),E10&lt;&gt;0),I10/E10-1,"")</f>
        <v/>
      </c>
      <c r="K10" s="4">
        <f>IF(OR(NOT(ISNUMBER(I10)),D10=""),"",IF(I10&gt;=D10,"달성","미달"))</f>
        <v/>
      </c>
      <c r="L10" s="8" t="inlineStr">
        <is>
          <t>시청자층 &gt; 구독자</t>
        </is>
      </c>
    </row>
    <row r="11">
      <c r="A11" s="4" t="inlineStr">
        <is>
          <t>쇼츠→롱폼 클릭</t>
        </is>
      </c>
      <c r="B11" s="4" t="inlineStr">
        <is>
          <t>회</t>
        </is>
      </c>
      <c r="C11" s="4" t="inlineStr">
        <is>
          <t>증가 추세</t>
        </is>
      </c>
      <c r="D11" s="5">
        <f>IF(ISNUMBER(E11),E11,"")</f>
        <v/>
      </c>
      <c r="E11" s="6" t="n"/>
      <c r="F11" s="6" t="n"/>
      <c r="G11" s="6" t="n"/>
      <c r="H11" s="6" t="n"/>
      <c r="I11" s="6" t="n"/>
      <c r="J11" s="7">
        <f>IF(AND(ISNUMBER(E11),ISNUMBER(I11),E11&lt;&gt;0),I11/E11-1,"")</f>
        <v/>
      </c>
      <c r="K11" s="4">
        <f>IF(OR(NOT(ISNUMBER(I11)),D11=""),"",IF(I11&gt;=D11,"달성","미달"))</f>
        <v/>
      </c>
      <c r="L11" s="8" t="inlineStr">
        <is>
          <t>쇼츠 관련 동영상 링크 클릭 (스튜디오 쇼츠 분석)</t>
        </is>
      </c>
    </row>
    <row r="12">
      <c r="A12" s="4" t="inlineStr">
        <is>
          <t>라이브 평균 동시 시청자</t>
        </is>
      </c>
      <c r="B12" s="4" t="inlineStr">
        <is>
          <t>명</t>
        </is>
      </c>
      <c r="C12" s="4" t="inlineStr">
        <is>
          <t>증가 추세</t>
        </is>
      </c>
      <c r="D12" s="5">
        <f>IF(ISNUMBER(E12),E12,"")</f>
        <v/>
      </c>
      <c r="E12" s="6" t="n"/>
      <c r="F12" s="6" t="n"/>
      <c r="G12" s="6" t="n"/>
      <c r="H12" s="6" t="n"/>
      <c r="I12" s="6" t="n"/>
      <c r="J12" s="7">
        <f>IF(AND(ISNUMBER(E12),ISNUMBER(I12),E12&lt;&gt;0),I12/E12-1,"")</f>
        <v/>
      </c>
      <c r="K12" s="4">
        <f>IF(OR(NOT(ISNUMBER(I12)),D12=""),"",IF(I12&gt;=D12,"달성","미달"))</f>
        <v/>
      </c>
      <c r="L12" s="8" t="inlineStr">
        <is>
          <t>라이브 분석</t>
        </is>
      </c>
    </row>
    <row r="13">
      <c r="A13" s="4" t="inlineStr">
        <is>
          <t>YouTube Music 트래픽 비율</t>
        </is>
      </c>
      <c r="B13" s="4" t="inlineStr">
        <is>
          <t>%</t>
        </is>
      </c>
      <c r="C13" s="4" t="inlineStr">
        <is>
          <t>생성 확인 후 증가 추세</t>
        </is>
      </c>
      <c r="D13" s="11">
        <f>IF(ISNUMBER(E13),E13,"")</f>
        <v/>
      </c>
      <c r="E13" s="9" t="n"/>
      <c r="F13" s="9" t="n"/>
      <c r="G13" s="9" t="n"/>
      <c r="H13" s="9" t="n"/>
      <c r="I13" s="9" t="n"/>
      <c r="J13" s="7">
        <f>IF(AND(ISNUMBER(E13),ISNUMBER(I13),E13&lt;&gt;0),I13/E13-1,"")</f>
        <v/>
      </c>
      <c r="K13" s="4">
        <f>IF(OR(NOT(ISNUMBER(I13)),D13=""),"",IF(I13&gt;=D13,"달성","미달"))</f>
        <v/>
      </c>
      <c r="L13" s="8" t="inlineStr">
        <is>
          <t>트래픽 소스 중 YouTube Music 비율, 소수 입력. 유통 반영 전에는 빈칸</t>
        </is>
      </c>
    </row>
    <row r="14">
      <c r="A14" s="4" t="inlineStr">
        <is>
          <t>팟캐스트 트래픽 비율</t>
        </is>
      </c>
      <c r="B14" s="4" t="inlineStr">
        <is>
          <t>%</t>
        </is>
      </c>
      <c r="C14" s="4" t="inlineStr">
        <is>
          <t>생성 확인 후 증가 추세</t>
        </is>
      </c>
      <c r="D14" s="11">
        <f>IF(ISNUMBER(E14),E14,"")</f>
        <v/>
      </c>
      <c r="E14" s="9" t="n"/>
      <c r="F14" s="9" t="n"/>
      <c r="G14" s="9" t="n"/>
      <c r="H14" s="9" t="n"/>
      <c r="I14" s="9" t="n"/>
      <c r="J14" s="7">
        <f>IF(AND(ISNUMBER(E14),ISNUMBER(I14),E14&lt;&gt;0),I14/E14-1,"")</f>
        <v/>
      </c>
      <c r="K14" s="4">
        <f>IF(OR(NOT(ISNUMBER(I14)),D14=""),"",IF(I14&gt;=D14,"달성","미달"))</f>
        <v/>
      </c>
      <c r="L14" s="8" t="inlineStr">
        <is>
          <t>트래픽 소스 중 팟캐스트 비율, 소수 입력. RSS 연결 전에는 빈칸</t>
        </is>
      </c>
    </row>
    <row r="16">
      <c r="A16" s="12" t="inlineStr">
        <is>
          <t>달성 지표 수</t>
        </is>
      </c>
      <c r="B16">
        <f>COUNTIF(K5:K14,"달성")</f>
        <v/>
      </c>
    </row>
    <row r="17">
      <c r="A17" s="12" t="inlineStr">
        <is>
          <t>평가 가능 지표 수</t>
        </is>
      </c>
      <c r="B17">
        <f>COUNTIF(K5:K14,"달성")+COUNTIF(K5:K14,"미달")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6" customWidth="1" min="2" max="2"/>
    <col width="12" customWidth="1" min="3" max="3"/>
    <col width="10" customWidth="1" min="4" max="4"/>
    <col width="10" customWidth="1" min="5" max="5"/>
    <col width="9" customWidth="1" min="6" max="6"/>
    <col width="11" customWidth="1" min="7" max="7"/>
    <col width="10" customWidth="1" min="8" max="8"/>
    <col width="12" customWidth="1" min="9" max="9"/>
    <col width="9" customWidth="1" min="10" max="10"/>
    <col width="30" customWidth="1" min="11" max="11"/>
  </cols>
  <sheetData>
    <row r="1">
      <c r="A1" s="3" t="inlineStr">
        <is>
          <t>공개일</t>
        </is>
      </c>
      <c r="B1" s="3" t="inlineStr">
        <is>
          <t>제목</t>
        </is>
      </c>
      <c r="C1" s="3" t="inlineStr">
        <is>
          <t>시리즈</t>
        </is>
      </c>
      <c r="D1" s="3" t="inlineStr">
        <is>
          <t>썸네일 승자</t>
        </is>
      </c>
      <c r="E1" s="3" t="inlineStr">
        <is>
          <t>48h 노출</t>
        </is>
      </c>
      <c r="F1" s="3" t="inlineStr">
        <is>
          <t>48h CTR</t>
        </is>
      </c>
      <c r="G1" s="3" t="inlineStr">
        <is>
          <t>48h AVD(분)</t>
        </is>
      </c>
      <c r="H1" s="3" t="inlineStr">
        <is>
          <t>7일 조회</t>
        </is>
      </c>
      <c r="I1" s="3" t="inlineStr">
        <is>
          <t>7일 구독 전환</t>
        </is>
      </c>
      <c r="J1" s="3" t="inlineStr">
        <is>
          <t>하이프 수</t>
        </is>
      </c>
      <c r="K1" s="3" t="inlineStr">
        <is>
          <t>메모</t>
        </is>
      </c>
    </row>
    <row r="2">
      <c r="A2" s="13" t="n">
        <v>46287</v>
      </c>
      <c r="B2" s="14" t="inlineStr">
        <is>
          <t>아기 수면음악 | 잠 안 자는 신생아 5분 만에 재우는 자장가 10시간 광고없음</t>
        </is>
      </c>
      <c r="C2" s="14" t="inlineStr">
        <is>
          <t>밤잠 10시간</t>
        </is>
      </c>
      <c r="D2" s="14" t="inlineStr">
        <is>
          <t>A</t>
        </is>
      </c>
      <c r="E2" s="14" t="n">
        <v>15000</v>
      </c>
      <c r="F2" s="15" t="n">
        <v>0.045</v>
      </c>
      <c r="G2" s="16" t="n">
        <v>14.2</v>
      </c>
      <c r="H2" s="14" t="n">
        <v>42000</v>
      </c>
      <c r="I2" s="14" t="n">
        <v>85</v>
      </c>
      <c r="J2" s="14" t="n">
        <v>12</v>
      </c>
      <c r="K2" s="14" t="inlineStr">
        <is>
          <t>예시 행. 실제 값으로 교체</t>
        </is>
      </c>
    </row>
    <row r="3">
      <c r="A3" s="13" t="n"/>
      <c r="B3" s="14" t="n"/>
      <c r="C3" s="14" t="n"/>
      <c r="D3" s="14" t="n"/>
      <c r="E3" s="14" t="n"/>
      <c r="F3" s="15" t="n"/>
      <c r="G3" s="16" t="n"/>
      <c r="H3" s="14" t="n"/>
      <c r="I3" s="14" t="n"/>
      <c r="J3" s="14" t="n"/>
      <c r="K3" s="14" t="n"/>
    </row>
    <row r="4">
      <c r="A4" s="13" t="n"/>
      <c r="B4" s="14" t="n"/>
      <c r="C4" s="14" t="n"/>
      <c r="D4" s="14" t="n"/>
      <c r="E4" s="14" t="n"/>
      <c r="F4" s="15" t="n"/>
      <c r="G4" s="16" t="n"/>
      <c r="H4" s="14" t="n"/>
      <c r="I4" s="14" t="n"/>
      <c r="J4" s="14" t="n"/>
      <c r="K4" s="14" t="n"/>
    </row>
    <row r="5">
      <c r="A5" s="13" t="n"/>
      <c r="B5" s="14" t="n"/>
      <c r="C5" s="14" t="n"/>
      <c r="D5" s="14" t="n"/>
      <c r="E5" s="14" t="n"/>
      <c r="F5" s="15" t="n"/>
      <c r="G5" s="16" t="n"/>
      <c r="H5" s="14" t="n"/>
      <c r="I5" s="14" t="n"/>
      <c r="J5" s="14" t="n"/>
      <c r="K5" s="14" t="n"/>
    </row>
    <row r="6">
      <c r="A6" s="13" t="n"/>
      <c r="B6" s="14" t="n"/>
      <c r="C6" s="14" t="n"/>
      <c r="D6" s="14" t="n"/>
      <c r="E6" s="14" t="n"/>
      <c r="F6" s="15" t="n"/>
      <c r="G6" s="16" t="n"/>
      <c r="H6" s="14" t="n"/>
      <c r="I6" s="14" t="n"/>
      <c r="J6" s="14" t="n"/>
      <c r="K6" s="14" t="n"/>
    </row>
    <row r="7">
      <c r="A7" s="13" t="n"/>
      <c r="B7" s="14" t="n"/>
      <c r="C7" s="14" t="n"/>
      <c r="D7" s="14" t="n"/>
      <c r="E7" s="14" t="n"/>
      <c r="F7" s="15" t="n"/>
      <c r="G7" s="16" t="n"/>
      <c r="H7" s="14" t="n"/>
      <c r="I7" s="14" t="n"/>
      <c r="J7" s="14" t="n"/>
      <c r="K7" s="14" t="n"/>
    </row>
    <row r="8">
      <c r="A8" s="13" t="n"/>
      <c r="B8" s="14" t="n"/>
      <c r="C8" s="14" t="n"/>
      <c r="D8" s="14" t="n"/>
      <c r="E8" s="14" t="n"/>
      <c r="F8" s="15" t="n"/>
      <c r="G8" s="16" t="n"/>
      <c r="H8" s="14" t="n"/>
      <c r="I8" s="14" t="n"/>
      <c r="J8" s="14" t="n"/>
      <c r="K8" s="14" t="n"/>
    </row>
    <row r="9">
      <c r="A9" s="13" t="n"/>
      <c r="B9" s="14" t="n"/>
      <c r="C9" s="14" t="n"/>
      <c r="D9" s="14" t="n"/>
      <c r="E9" s="14" t="n"/>
      <c r="F9" s="15" t="n"/>
      <c r="G9" s="16" t="n"/>
      <c r="H9" s="14" t="n"/>
      <c r="I9" s="14" t="n"/>
      <c r="J9" s="14" t="n"/>
      <c r="K9" s="14" t="n"/>
    </row>
    <row r="10">
      <c r="A10" s="13" t="n"/>
      <c r="B10" s="14" t="n"/>
      <c r="C10" s="14" t="n"/>
      <c r="D10" s="14" t="n"/>
      <c r="E10" s="14" t="n"/>
      <c r="F10" s="15" t="n"/>
      <c r="G10" s="16" t="n"/>
      <c r="H10" s="14" t="n"/>
      <c r="I10" s="14" t="n"/>
      <c r="J10" s="14" t="n"/>
      <c r="K10" s="14" t="n"/>
    </row>
    <row r="11">
      <c r="A11" s="13" t="n"/>
      <c r="B11" s="14" t="n"/>
      <c r="C11" s="14" t="n"/>
      <c r="D11" s="14" t="n"/>
      <c r="E11" s="14" t="n"/>
      <c r="F11" s="15" t="n"/>
      <c r="G11" s="16" t="n"/>
      <c r="H11" s="14" t="n"/>
      <c r="I11" s="14" t="n"/>
      <c r="J11" s="14" t="n"/>
      <c r="K11" s="14" t="n"/>
    </row>
    <row r="12">
      <c r="A12" s="13" t="n"/>
      <c r="B12" s="14" t="n"/>
      <c r="C12" s="14" t="n"/>
      <c r="D12" s="14" t="n"/>
      <c r="E12" s="14" t="n"/>
      <c r="F12" s="15" t="n"/>
      <c r="G12" s="16" t="n"/>
      <c r="H12" s="14" t="n"/>
      <c r="I12" s="14" t="n"/>
      <c r="J12" s="14" t="n"/>
      <c r="K12" s="14" t="n"/>
    </row>
    <row r="13">
      <c r="A13" s="13" t="n"/>
      <c r="B13" s="14" t="n"/>
      <c r="C13" s="14" t="n"/>
      <c r="D13" s="14" t="n"/>
      <c r="E13" s="14" t="n"/>
      <c r="F13" s="15" t="n"/>
      <c r="G13" s="16" t="n"/>
      <c r="H13" s="14" t="n"/>
      <c r="I13" s="14" t="n"/>
      <c r="J13" s="14" t="n"/>
      <c r="K13" s="14" t="n"/>
    </row>
    <row r="14">
      <c r="A14" s="13" t="n"/>
      <c r="B14" s="14" t="n"/>
      <c r="C14" s="14" t="n"/>
      <c r="D14" s="14" t="n"/>
      <c r="E14" s="14" t="n"/>
      <c r="F14" s="15" t="n"/>
      <c r="G14" s="16" t="n"/>
      <c r="H14" s="14" t="n"/>
      <c r="I14" s="14" t="n"/>
      <c r="J14" s="14" t="n"/>
      <c r="K14" s="14" t="n"/>
    </row>
    <row r="15">
      <c r="A15" s="13" t="n"/>
      <c r="B15" s="14" t="n"/>
      <c r="C15" s="14" t="n"/>
      <c r="D15" s="14" t="n"/>
      <c r="E15" s="14" t="n"/>
      <c r="F15" s="15" t="n"/>
      <c r="G15" s="16" t="n"/>
      <c r="H15" s="14" t="n"/>
      <c r="I15" s="14" t="n"/>
      <c r="J15" s="14" t="n"/>
      <c r="K15" s="14" t="n"/>
    </row>
    <row r="16">
      <c r="A16" s="13" t="n"/>
      <c r="B16" s="14" t="n"/>
      <c r="C16" s="14" t="n"/>
      <c r="D16" s="14" t="n"/>
      <c r="E16" s="14" t="n"/>
      <c r="F16" s="15" t="n"/>
      <c r="G16" s="16" t="n"/>
      <c r="H16" s="14" t="n"/>
      <c r="I16" s="14" t="n"/>
      <c r="J16" s="14" t="n"/>
      <c r="K16" s="14" t="n"/>
    </row>
    <row r="17">
      <c r="A17" s="13" t="n"/>
      <c r="B17" s="14" t="n"/>
      <c r="C17" s="14" t="n"/>
      <c r="D17" s="14" t="n"/>
      <c r="E17" s="14" t="n"/>
      <c r="F17" s="15" t="n"/>
      <c r="G17" s="16" t="n"/>
      <c r="H17" s="14" t="n"/>
      <c r="I17" s="14" t="n"/>
      <c r="J17" s="14" t="n"/>
      <c r="K17" s="14" t="n"/>
    </row>
    <row r="18">
      <c r="A18" s="13" t="n"/>
      <c r="B18" s="14" t="n"/>
      <c r="C18" s="14" t="n"/>
      <c r="D18" s="14" t="n"/>
      <c r="E18" s="14" t="n"/>
      <c r="F18" s="15" t="n"/>
      <c r="G18" s="16" t="n"/>
      <c r="H18" s="14" t="n"/>
      <c r="I18" s="14" t="n"/>
      <c r="J18" s="14" t="n"/>
      <c r="K18" s="14" t="n"/>
    </row>
    <row r="19">
      <c r="A19" s="13" t="n"/>
      <c r="B19" s="14" t="n"/>
      <c r="C19" s="14" t="n"/>
      <c r="D19" s="14" t="n"/>
      <c r="E19" s="14" t="n"/>
      <c r="F19" s="15" t="n"/>
      <c r="G19" s="16" t="n"/>
      <c r="H19" s="14" t="n"/>
      <c r="I19" s="14" t="n"/>
      <c r="J19" s="14" t="n"/>
      <c r="K19" s="14" t="n"/>
    </row>
    <row r="20">
      <c r="A20" s="13" t="n"/>
      <c r="B20" s="14" t="n"/>
      <c r="C20" s="14" t="n"/>
      <c r="D20" s="14" t="n"/>
      <c r="E20" s="14" t="n"/>
      <c r="F20" s="15" t="n"/>
      <c r="G20" s="16" t="n"/>
      <c r="H20" s="14" t="n"/>
      <c r="I20" s="14" t="n"/>
      <c r="J20" s="14" t="n"/>
      <c r="K20" s="14" t="n"/>
    </row>
    <row r="21">
      <c r="A21" s="13" t="n"/>
      <c r="B21" s="14" t="n"/>
      <c r="C21" s="14" t="n"/>
      <c r="D21" s="14" t="n"/>
      <c r="E21" s="14" t="n"/>
      <c r="F21" s="15" t="n"/>
      <c r="G21" s="16" t="n"/>
      <c r="H21" s="14" t="n"/>
      <c r="I21" s="14" t="n"/>
      <c r="J21" s="14" t="n"/>
      <c r="K21" s="14" t="n"/>
    </row>
    <row r="22">
      <c r="A22" s="13" t="n"/>
      <c r="B22" s="14" t="n"/>
      <c r="C22" s="14" t="n"/>
      <c r="D22" s="14" t="n"/>
      <c r="E22" s="14" t="n"/>
      <c r="F22" s="15" t="n"/>
      <c r="G22" s="16" t="n"/>
      <c r="H22" s="14" t="n"/>
      <c r="I22" s="14" t="n"/>
      <c r="J22" s="14" t="n"/>
      <c r="K22" s="14" t="n"/>
    </row>
    <row r="23">
      <c r="A23" s="13" t="n"/>
      <c r="B23" s="14" t="n"/>
      <c r="C23" s="14" t="n"/>
      <c r="D23" s="14" t="n"/>
      <c r="E23" s="14" t="n"/>
      <c r="F23" s="15" t="n"/>
      <c r="G23" s="16" t="n"/>
      <c r="H23" s="14" t="n"/>
      <c r="I23" s="14" t="n"/>
      <c r="J23" s="14" t="n"/>
      <c r="K23" s="14" t="n"/>
    </row>
    <row r="24">
      <c r="A24" s="13" t="n"/>
      <c r="B24" s="14" t="n"/>
      <c r="C24" s="14" t="n"/>
      <c r="D24" s="14" t="n"/>
      <c r="E24" s="14" t="n"/>
      <c r="F24" s="15" t="n"/>
      <c r="G24" s="16" t="n"/>
      <c r="H24" s="14" t="n"/>
      <c r="I24" s="14" t="n"/>
      <c r="J24" s="14" t="n"/>
      <c r="K24" s="14" t="n"/>
    </row>
    <row r="25">
      <c r="A25" s="13" t="n"/>
      <c r="B25" s="14" t="n"/>
      <c r="C25" s="14" t="n"/>
      <c r="D25" s="14" t="n"/>
      <c r="E25" s="14" t="n"/>
      <c r="F25" s="15" t="n"/>
      <c r="G25" s="16" t="n"/>
      <c r="H25" s="14" t="n"/>
      <c r="I25" s="14" t="n"/>
      <c r="J25" s="14" t="n"/>
      <c r="K25" s="14" t="n"/>
    </row>
    <row r="26">
      <c r="A26" s="13" t="n"/>
      <c r="B26" s="14" t="n"/>
      <c r="C26" s="14" t="n"/>
      <c r="D26" s="14" t="n"/>
      <c r="E26" s="14" t="n"/>
      <c r="F26" s="15" t="n"/>
      <c r="G26" s="16" t="n"/>
      <c r="H26" s="14" t="n"/>
      <c r="I26" s="14" t="n"/>
      <c r="J26" s="14" t="n"/>
      <c r="K26" s="14" t="n"/>
    </row>
    <row r="27">
      <c r="A27" s="13" t="n"/>
      <c r="B27" s="14" t="n"/>
      <c r="C27" s="14" t="n"/>
      <c r="D27" s="14" t="n"/>
      <c r="E27" s="14" t="n"/>
      <c r="F27" s="15" t="n"/>
      <c r="G27" s="16" t="n"/>
      <c r="H27" s="14" t="n"/>
      <c r="I27" s="14" t="n"/>
      <c r="J27" s="14" t="n"/>
      <c r="K27" s="14" t="n"/>
    </row>
    <row r="28">
      <c r="A28" s="13" t="n"/>
      <c r="B28" s="14" t="n"/>
      <c r="C28" s="14" t="n"/>
      <c r="D28" s="14" t="n"/>
      <c r="E28" s="14" t="n"/>
      <c r="F28" s="15" t="n"/>
      <c r="G28" s="16" t="n"/>
      <c r="H28" s="14" t="n"/>
      <c r="I28" s="14" t="n"/>
      <c r="J28" s="14" t="n"/>
      <c r="K28" s="14" t="n"/>
    </row>
    <row r="29">
      <c r="A29" s="13" t="n"/>
      <c r="B29" s="14" t="n"/>
      <c r="C29" s="14" t="n"/>
      <c r="D29" s="14" t="n"/>
      <c r="E29" s="14" t="n"/>
      <c r="F29" s="15" t="n"/>
      <c r="G29" s="16" t="n"/>
      <c r="H29" s="14" t="n"/>
      <c r="I29" s="14" t="n"/>
      <c r="J29" s="14" t="n"/>
      <c r="K29" s="14" t="n"/>
    </row>
    <row r="30">
      <c r="A30" s="13" t="n"/>
      <c r="B30" s="14" t="n"/>
      <c r="C30" s="14" t="n"/>
      <c r="D30" s="14" t="n"/>
      <c r="E30" s="14" t="n"/>
      <c r="F30" s="15" t="n"/>
      <c r="G30" s="16" t="n"/>
      <c r="H30" s="14" t="n"/>
      <c r="I30" s="14" t="n"/>
      <c r="J30" s="14" t="n"/>
      <c r="K30" s="14" t="n"/>
    </row>
    <row r="31">
      <c r="A31" s="13" t="n"/>
      <c r="B31" s="14" t="n"/>
      <c r="C31" s="14" t="n"/>
      <c r="D31" s="14" t="n"/>
      <c r="E31" s="14" t="n"/>
      <c r="F31" s="15" t="n"/>
      <c r="G31" s="16" t="n"/>
      <c r="H31" s="14" t="n"/>
      <c r="I31" s="14" t="n"/>
      <c r="J31" s="14" t="n"/>
      <c r="K31" s="14" t="n"/>
    </row>
    <row r="33">
      <c r="D33" s="12" t="inlineStr">
        <is>
          <t>평균</t>
        </is>
      </c>
      <c r="E33" s="17">
        <f>IF(COUNT(E2:E31)=0,"",AVERAGE(E2:E31))</f>
        <v/>
      </c>
      <c r="F33" s="18">
        <f>IF(COUNT(F2:F31)=0,"",AVERAGE(F2:F31))</f>
        <v/>
      </c>
      <c r="G33" s="19">
        <f>IF(COUNT(G2:G31)=0,"",AVERAGE(G2:G31))</f>
        <v/>
      </c>
      <c r="H33" s="17">
        <f>IF(COUNT(H2:H31)=0,"",AVERAGE(H2:H31))</f>
        <v/>
      </c>
      <c r="I33" s="17">
        <f>IF(COUNT(I2:I31)=0,"",AVERAGE(I2:I31))</f>
        <v/>
      </c>
      <c r="J33" s="17">
        <f>IF(COUNT(J2:J31)=0,"",AVERAGE(J2:J31))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2026-09-17T08:28:03Z</dcterms:created>
  <dcterms:modified xsi:type="dcterms:W3CDTF">2026-09-17T08:28:03Z</dcterms:modified>
</cp:coreProperties>
</file>